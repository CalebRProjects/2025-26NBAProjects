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<sst xmlns="http://schemas.openxmlformats.org/spreadsheetml/2006/main" count="29" uniqueCount="29">
  <si>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Season</t>
  </si>
  <si>
    <t>Age</t>
  </si>
  <si>
    <t xml:space="preserve"> RA FGM</t>
  </si>
  <si>
    <t xml:space="preserve">  RA FGA</t>
  </si>
  <si>
    <t xml:space="preserve"> RA FG%</t>
  </si>
  <si>
    <t>Paint Non-RA FGM</t>
  </si>
  <si>
    <t>Paint Non-RA FGA</t>
  </si>
  <si>
    <t>Paint Non-RA FG%</t>
  </si>
  <si>
    <t xml:space="preserve"> Midrange FGM</t>
  </si>
  <si>
    <t xml:space="preserve"> Midrange FGA</t>
  </si>
  <si>
    <t xml:space="preserve"> Midrange FG%</t>
  </si>
  <si>
    <t>LC3 FGM</t>
  </si>
  <si>
    <t xml:space="preserve"> LC3 FGA</t>
  </si>
  <si>
    <t>LC3 FG%</t>
  </si>
  <si>
    <t>RC3 FGM</t>
  </si>
  <si>
    <t>RC3 FGA</t>
  </si>
  <si>
    <t>RC3 FG%</t>
  </si>
  <si>
    <t xml:space="preserve"> Corner 3 FGM</t>
  </si>
  <si>
    <t>Corner 3 FGA</t>
  </si>
  <si>
    <t>Cortner 3 FG%</t>
  </si>
  <si>
    <t xml:space="preserve"> ATB3 FGM</t>
  </si>
  <si>
    <t>ATB3 FGA</t>
  </si>
  <si>
    <t>ATB3 FG%</t>
  </si>
  <si>
    <t>3FGM</t>
  </si>
  <si>
    <t>3FGA</t>
  </si>
  <si>
    <t>3FG%</t>
  </si>
  <si>
    <t>25-26</t>
  </si>
  <si>
    <t>24-25</t>
  </si>
  <si>
    <t>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</si>
</sst>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000000"/>
      <name val="Poppins"/>
    </font>
    <font>
      <b/>
      <sz val="16.0"/>
      <color theme="1"/>
      <name val="Poppins"/>
    </font>
    <font>
      <sz val="16.0"/>
      <color rgb="FF000000"/>
      <name val="Poppins"/>
    </font>
    <font>
      <sz val="16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EBE9E7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1" fillId="2" fontId="3" numFmtId="0" xfId="0" applyAlignment="1" applyBorder="1" applyFont="1">
      <alignment horizontal="right" readingOrder="0" shrinkToFit="0" wrapText="0"/>
    </xf>
    <xf borderId="0" fillId="0" fontId="4" numFmtId="0" xfId="0" applyFont="1"/>
    <xf borderId="0" fillId="0" fontId="4" numFmtId="2" xfId="0" applyFont="1" applyNumberForma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</row>
    <row r="2">
      <c r="A2" s="5" t="s">
        <v>26</v>
      </c>
      <c r="B2" s="6">
        <v>23.0</v>
      </c>
      <c r="C2" s="6">
        <v>95.0</v>
      </c>
      <c r="D2" s="6">
        <v>145.0</v>
      </c>
      <c r="E2" s="6">
        <v>65.5</v>
      </c>
      <c r="F2" s="6">
        <v>30.0</v>
      </c>
      <c r="G2" s="6">
        <v>74.0</v>
      </c>
      <c r="H2" s="6">
        <v>40.5</v>
      </c>
      <c r="I2" s="6">
        <v>16.0</v>
      </c>
      <c r="J2" s="6">
        <v>31.0</v>
      </c>
      <c r="K2" s="6">
        <v>51.6</v>
      </c>
      <c r="L2" s="6">
        <v>23.0</v>
      </c>
      <c r="M2" s="6">
        <v>42.0</v>
      </c>
      <c r="N2" s="6">
        <v>54.8</v>
      </c>
      <c r="O2" s="6">
        <v>8.0</v>
      </c>
      <c r="P2" s="6">
        <v>17.0</v>
      </c>
      <c r="Q2" s="6">
        <v>47.1</v>
      </c>
      <c r="R2" s="6">
        <v>31.0</v>
      </c>
      <c r="S2" s="6">
        <v>59.0</v>
      </c>
      <c r="T2" s="6">
        <v>52.5</v>
      </c>
      <c r="U2" s="6">
        <v>22.0</v>
      </c>
      <c r="V2" s="6">
        <v>71.0</v>
      </c>
      <c r="W2" s="6">
        <v>31.0</v>
      </c>
      <c r="X2" s="7">
        <f t="shared" ref="X2:Y2" si="1">U2+R2</f>
        <v>53</v>
      </c>
      <c r="Y2" s="7">
        <f t="shared" si="1"/>
        <v>130</v>
      </c>
      <c r="Z2" s="8">
        <f t="shared" ref="Z2:Z4" si="3">X2/Y2</f>
        <v>0.4076923077</v>
      </c>
    </row>
    <row r="3">
      <c r="A3" s="5" t="s">
        <v>27</v>
      </c>
      <c r="B3" s="6">
        <v>22.0</v>
      </c>
      <c r="C3" s="6">
        <v>124.0</v>
      </c>
      <c r="D3" s="6">
        <v>195.0</v>
      </c>
      <c r="E3" s="6">
        <v>63.6</v>
      </c>
      <c r="F3" s="6">
        <v>29.0</v>
      </c>
      <c r="G3" s="6">
        <v>80.0</v>
      </c>
      <c r="H3" s="6">
        <v>36.3</v>
      </c>
      <c r="I3" s="6">
        <v>3.0</v>
      </c>
      <c r="J3" s="6">
        <v>17.0</v>
      </c>
      <c r="K3" s="6">
        <v>17.6</v>
      </c>
      <c r="L3" s="6">
        <v>22.0</v>
      </c>
      <c r="M3" s="6">
        <v>49.0</v>
      </c>
      <c r="N3" s="6">
        <v>44.9</v>
      </c>
      <c r="O3" s="6">
        <v>12.0</v>
      </c>
      <c r="P3" s="6">
        <v>27.0</v>
      </c>
      <c r="Q3" s="6">
        <v>44.4</v>
      </c>
      <c r="R3" s="6">
        <v>34.0</v>
      </c>
      <c r="S3" s="6">
        <v>76.0</v>
      </c>
      <c r="T3" s="6">
        <v>44.7</v>
      </c>
      <c r="U3" s="6">
        <v>14.0</v>
      </c>
      <c r="V3" s="6">
        <v>59.0</v>
      </c>
      <c r="W3" s="6">
        <v>23.7</v>
      </c>
      <c r="X3" s="7">
        <f t="shared" ref="X3:Y3" si="2">U3+R3</f>
        <v>48</v>
      </c>
      <c r="Y3" s="7">
        <f t="shared" si="2"/>
        <v>135</v>
      </c>
      <c r="Z3" s="8">
        <f t="shared" si="3"/>
        <v>0.3555555556</v>
      </c>
    </row>
    <row r="4">
      <c r="A4" s="5" t="s">
        <v>28</v>
      </c>
      <c r="B4" s="6">
        <v>21.0</v>
      </c>
      <c r="C4" s="6">
        <v>109.0</v>
      </c>
      <c r="D4" s="6">
        <v>171.0</v>
      </c>
      <c r="E4" s="6">
        <v>63.7</v>
      </c>
      <c r="F4" s="6">
        <v>40.0</v>
      </c>
      <c r="G4" s="6">
        <v>90.0</v>
      </c>
      <c r="H4" s="6">
        <v>44.4</v>
      </c>
      <c r="I4" s="6">
        <v>14.0</v>
      </c>
      <c r="J4" s="6">
        <v>34.0</v>
      </c>
      <c r="K4" s="6">
        <v>41.2</v>
      </c>
      <c r="L4" s="6">
        <v>9.0</v>
      </c>
      <c r="M4" s="6">
        <v>32.0</v>
      </c>
      <c r="N4" s="6">
        <v>28.1</v>
      </c>
      <c r="O4" s="6">
        <v>11.0</v>
      </c>
      <c r="P4" s="6">
        <v>37.0</v>
      </c>
      <c r="Q4" s="6">
        <v>29.7</v>
      </c>
      <c r="R4" s="6">
        <v>20.0</v>
      </c>
      <c r="S4" s="6">
        <v>69.0</v>
      </c>
      <c r="T4" s="6">
        <v>29.0</v>
      </c>
      <c r="U4" s="6">
        <v>25.0</v>
      </c>
      <c r="V4" s="6">
        <v>77.0</v>
      </c>
      <c r="W4" s="6">
        <v>32.5</v>
      </c>
      <c r="X4" s="7">
        <f t="shared" ref="X4:Y4" si="4">U4+R4</f>
        <v>45</v>
      </c>
      <c r="Y4" s="7">
        <f t="shared" si="4"/>
        <v>146</v>
      </c>
      <c r="Z4" s="8">
        <f t="shared" si="3"/>
        <v>0.3082191781</v>
      </c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</sheetData>
  <drawing r:id="rId1"/>
</worksheet>
</file>